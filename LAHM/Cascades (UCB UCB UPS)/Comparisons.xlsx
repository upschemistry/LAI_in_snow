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h/Library/CloudStorage/Dropbox/2025 LAHM/LAHM/LAHM Data Cascades/"/>
    </mc:Choice>
  </mc:AlternateContent>
  <xr:revisionPtr revIDLastSave="0" documentId="13_ncr:1_{2C74424D-534D-B44D-8B7D-7A91B5B34731}" xr6:coauthVersionLast="47" xr6:coauthVersionMax="47" xr10:uidLastSave="{00000000-0000-0000-0000-000000000000}"/>
  <bookViews>
    <workbookView xWindow="680" yWindow="580" windowWidth="26980" windowHeight="16360" xr2:uid="{CE24DAEB-F3A3-A44E-9D9B-2FF95C7F438D}"/>
  </bookViews>
  <sheets>
    <sheet name="2024" sheetId="1" r:id="rId1"/>
    <sheet name="2025" sheetId="2" r:id="rId2"/>
  </sheets>
  <definedNames>
    <definedName name="temp_2026" localSheetId="1">'2025'!$A$4:$D$16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4" i="2"/>
  <c r="L5" i="1"/>
  <c r="L6" i="1"/>
  <c r="L7" i="1"/>
  <c r="L8" i="1"/>
  <c r="L9" i="1"/>
  <c r="L10" i="1"/>
  <c r="L11" i="1"/>
  <c r="L12" i="1"/>
  <c r="L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DA084-2EDC-1044-B26A-88DD12E855F2}" name="temp_2025" type="6" refreshedVersion="8" background="1" saveData="1">
    <textPr codePage="10000" sourceFile="/Users/nesh/Library/CloudStorage/Dropbox/2025 LAHM/LAHM/LAHM Data Cascades/temp_2025.rtf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<sst xmlns="http://schemas.openxmlformats.org/spreadsheetml/2006/main" count="85" uniqueCount="52">
  <si>
    <t>Mt. Columbia</t>
  </si>
  <si>
    <t>Mt. Baker</t>
  </si>
  <si>
    <t>Mt. Adams</t>
  </si>
  <si>
    <t>Mt. Baker camp</t>
  </si>
  <si>
    <t>Mt. Rainier camp</t>
  </si>
  <si>
    <t>Location</t>
  </si>
  <si>
    <t>Date</t>
  </si>
  <si>
    <t>surface</t>
  </si>
  <si>
    <t>surface/summit</t>
  </si>
  <si>
    <t>subsurface/summit</t>
  </si>
  <si>
    <t>subsurface</t>
  </si>
  <si>
    <t>Sample</t>
  </si>
  <si>
    <t>elevation (ft.)</t>
  </si>
  <si>
    <t>2024/mtcolumbia_S1surface_10syringes.txt</t>
  </si>
  <si>
    <t>Filename</t>
  </si>
  <si>
    <t>2024/mtbaker_summit_may23_2024_10syringes.txt</t>
  </si>
  <si>
    <t>2024/mtadams_summit_surface_2syringes.txt</t>
  </si>
  <si>
    <t>2024/mtadams_summit_subsurface_2syringes.txt</t>
  </si>
  <si>
    <t>2024/mtbaker_camp_surface_2syringes.txt</t>
  </si>
  <si>
    <t>2024/mtbaker_camp_subsurface_2syringes.txt</t>
  </si>
  <si>
    <t>2024/rainier_camp_surface_8syringes.txt</t>
  </si>
  <si>
    <t>2024/rainier_camp_subsurface_8syringes.txt</t>
  </si>
  <si>
    <t>filter load (ug)</t>
  </si>
  <si>
    <t>concentration (ng eBC/g)</t>
  </si>
  <si>
    <t>t0 (s)</t>
  </si>
  <si>
    <t>2024/mtcolumbia_S2_subsurface_10syringes.txt</t>
  </si>
  <si>
    <t>(Lucy's data)</t>
  </si>
  <si>
    <t>(metadata.png)</t>
  </si>
  <si>
    <t>(mL)</t>
  </si>
  <si>
    <t>From metadata.png</t>
  </si>
  <si>
    <t>From Lucy's temperature profiles</t>
  </si>
  <si>
    <t>Syringe (mL)</t>
  </si>
  <si>
    <t>Differences</t>
  </si>
  <si>
    <t>metadata</t>
  </si>
  <si>
    <t>Lucy's data -</t>
  </si>
  <si>
    <t>(your spreadsheet)</t>
  </si>
  <si>
    <t>File number</t>
  </si>
  <si>
    <t>2025/May_2025/bakersandycamp_may27_2025_1syringe.txt</t>
  </si>
  <si>
    <t>2025/May_2025/bakersummit_may27_2025_1syringe.txt</t>
  </si>
  <si>
    <t>2025/June_2025/bakercrater_june25_2025_1syringe.txt</t>
  </si>
  <si>
    <t>2025/June_2025/bakersummit_june25_2025_5syringes.txt</t>
  </si>
  <si>
    <t>2025/July_2025/bakercrater_july10_2025_1syringe.txt</t>
  </si>
  <si>
    <t>2025/July_2025/bakersandycamp_july10_2025_1syringe.txt</t>
  </si>
  <si>
    <t>2025/July_2025/bakersummit_july10_2025_8.75syringes.txt</t>
  </si>
  <si>
    <t>2025/May_2025/rainier_campmuir_may23_2025_4.8syringes.txt</t>
  </si>
  <si>
    <t>2025/May_2025/rainier_highcamp_may23_2025_3.75syringes.txt</t>
  </si>
  <si>
    <t>2025/June_2025/rainier_summit_june25_2025_5.6syringes.txt</t>
  </si>
  <si>
    <t>2025/July_2025/rainieringrahamflats_july13_2025_1syringe.txt</t>
  </si>
  <si>
    <t>2025/July_2025/rainiermuir_july13_2025_1syringe.txt</t>
  </si>
  <si>
    <t>Subsurface: 5-50 ng/g</t>
  </si>
  <si>
    <t>Surface: 50-500 ng/g</t>
  </si>
  <si>
    <t>Our 2025 Rainier samples: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</si>
</sst>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Font="1" applyAlignment="1">
      <alignment horizontal="left"/>
    </xf>
    <xf numFmtId="9" fontId="2" fillId="0" borderId="0" xfId="1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176" fontId="6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974949</xdr:colOff>
      <xdr:row>15</xdr:row>
      <xdr:rowOff>25657</xdr:rowOff>
    </xdr:from>
    <xdr:to>
      <xdr:col>5</xdr:col>
      <xdr:colOff>1714395</xdr:colOff>
      <xdr:row>43</xdr:row>
      <xdr:rowOff>76969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9D5E69-3256-14BA-C4BD-83A8673E7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8383" y="3104445"/>
          <a:ext cx="6088840" cy="57983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1333500</xdr:colOff>
      <xdr:row>15</xdr:row>
      <xdr:rowOff>190500</xdr:rowOff>
    </xdr:from>
    <xdr:to>
      <xdr:col>3</xdr:col>
      <xdr:colOff>990600</xdr:colOff>
      <xdr:row>42</xdr:row>
      <xdr:rowOff>195214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E01566-F75E-C752-B4CC-277BD731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3238500"/>
          <a:ext cx="5778500" cy="549111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_2026" connectionId="1" xr16:uid="{3277F1DD-01D9-9444-A006-F2666BF8E61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5058-B452-1844-A8F5-FE260F0E2060}">
  <dimension ref="A1:M14"/>
  <sheetViews>
    <sheetView tabSelected="1" zoomScale="75" workbookViewId="0">
      <selection activeCell="G29" sqref="G29"/>
    </sheetView>
  </sheetViews>
  <sheetFormatPr baseColWidth="10" defaultRowHeight="16" x14ac:dyDescent="0.2"/>
  <cols>
    <col min="1" max="1" width="13.33203125" customWidth="1"/>
    <col min="2" max="2" width="15.6640625" customWidth="1"/>
    <col min="3" max="3" width="15.83203125" customWidth="1"/>
    <col min="4" max="4" width="18.33203125" customWidth="1"/>
    <col min="5" max="5" width="20.33203125" customWidth="1"/>
    <col min="6" max="6" width="25" style="3" customWidth="1"/>
    <col min="7" max="7" width="48.5" style="12" customWidth="1"/>
    <col min="8" max="8" width="12.33203125" style="12" customWidth="1"/>
    <col min="9" max="9" width="18.83203125" style="12" customWidth="1"/>
    <col min="10" max="11" width="25.33203125" style="13" customWidth="1"/>
    <col min="12" max="12" width="31.83203125" style="8" customWidth="1"/>
    <col min="13" max="13" width="23.5" style="17" customWidth="1"/>
  </cols>
  <sheetData>
    <row r="1" spans="1:13" x14ac:dyDescent="0.2">
      <c r="B1" s="2" t="s">
        <v>29</v>
      </c>
      <c r="G1" s="13" t="s">
        <v>30</v>
      </c>
      <c r="L1" s="5" t="s">
        <v>32</v>
      </c>
    </row>
    <row r="2" spans="1:13" s="2" customFormat="1" x14ac:dyDescent="0.2">
      <c r="A2" s="2" t="s">
        <v>36</v>
      </c>
      <c r="B2" s="4" t="s">
        <v>5</v>
      </c>
      <c r="C2" s="4" t="s">
        <v>6</v>
      </c>
      <c r="D2" s="4" t="s">
        <v>11</v>
      </c>
      <c r="E2" s="4" t="s">
        <v>12</v>
      </c>
      <c r="F2" s="4" t="s">
        <v>23</v>
      </c>
      <c r="G2" s="14" t="s">
        <v>14</v>
      </c>
      <c r="H2" s="14" t="s">
        <v>31</v>
      </c>
      <c r="I2" s="14" t="s">
        <v>22</v>
      </c>
      <c r="J2" s="14" t="s">
        <v>23</v>
      </c>
      <c r="K2" s="14" t="s">
        <v>24</v>
      </c>
      <c r="L2" s="14" t="s">
        <v>34</v>
      </c>
      <c r="M2" s="18"/>
    </row>
    <row r="3" spans="1:13" s="2" customFormat="1" x14ac:dyDescent="0.2">
      <c r="A3" s="4"/>
      <c r="B3" s="4" t="s">
        <v>27</v>
      </c>
      <c r="C3" s="4" t="s">
        <v>27</v>
      </c>
      <c r="D3" s="4" t="s">
        <v>35</v>
      </c>
      <c r="E3" s="4" t="s">
        <v>27</v>
      </c>
      <c r="F3" s="4" t="s">
        <v>35</v>
      </c>
      <c r="G3" s="14" t="s">
        <v>26</v>
      </c>
      <c r="H3" s="14" t="s">
        <v>28</v>
      </c>
      <c r="I3" s="14" t="s">
        <v>26</v>
      </c>
      <c r="J3" s="14" t="s">
        <v>26</v>
      </c>
      <c r="K3" s="14" t="s">
        <v>26</v>
      </c>
      <c r="L3" s="4" t="s">
        <v>33</v>
      </c>
      <c r="M3" s="18"/>
    </row>
    <row r="4" spans="1:13" s="1" customFormat="1" x14ac:dyDescent="0.2">
      <c r="A4" s="6">
        <v>0</v>
      </c>
      <c r="B4" s="6" t="s">
        <v>0</v>
      </c>
      <c r="C4" s="7">
        <v>45430</v>
      </c>
      <c r="D4" s="6" t="s">
        <v>7</v>
      </c>
      <c r="E4" s="6">
        <v>6500</v>
      </c>
      <c r="F4" s="6">
        <v>28.3</v>
      </c>
      <c r="G4" s="15" t="s">
        <v>13</v>
      </c>
      <c r="H4" s="15">
        <v>600</v>
      </c>
      <c r="I4" s="16">
        <v>15.4464040620276</v>
      </c>
      <c r="J4" s="16">
        <v>25.744006770046099</v>
      </c>
      <c r="K4" s="16">
        <v>3.5393125663910401</v>
      </c>
      <c r="L4" s="11">
        <f>J4/F4-1</f>
        <v>-9.0317781977169664E-2</v>
      </c>
      <c r="M4" s="17"/>
    </row>
    <row r="5" spans="1:13" s="1" customFormat="1" x14ac:dyDescent="0.2">
      <c r="A5" s="6">
        <v>1</v>
      </c>
      <c r="B5" s="6" t="s">
        <v>0</v>
      </c>
      <c r="C5" s="7">
        <v>45430</v>
      </c>
      <c r="D5" s="6" t="s">
        <v>10</v>
      </c>
      <c r="E5" s="6">
        <v>7600</v>
      </c>
      <c r="F5" s="6">
        <v>16.899999999999999</v>
      </c>
      <c r="G5" s="12" t="s">
        <v>25</v>
      </c>
      <c r="H5" s="15">
        <v>600</v>
      </c>
      <c r="I5" s="16">
        <v>9.4701654717842896</v>
      </c>
      <c r="J5" s="16">
        <v>15.783609119640399</v>
      </c>
      <c r="K5" s="16">
        <v>3.8865369543786601</v>
      </c>
      <c r="L5" s="11">
        <f t="shared" ref="L5:L12" si="0">J5/F5-1</f>
        <v>-6.6058631973940796E-2</v>
      </c>
      <c r="M5" s="17"/>
    </row>
    <row r="6" spans="1:13" s="1" customFormat="1" x14ac:dyDescent="0.2">
      <c r="A6" s="6">
        <v>2</v>
      </c>
      <c r="B6" s="6" t="s">
        <v>1</v>
      </c>
      <c r="C6" s="7">
        <v>45448</v>
      </c>
      <c r="D6" s="6" t="s">
        <v>8</v>
      </c>
      <c r="E6" s="10">
        <v>10790</v>
      </c>
      <c r="F6" s="6">
        <v>3.7</v>
      </c>
      <c r="G6" s="15" t="s">
        <v>15</v>
      </c>
      <c r="H6" s="15">
        <v>600</v>
      </c>
      <c r="I6" s="16">
        <v>2.1046790232252501</v>
      </c>
      <c r="J6" s="16">
        <v>3.50779837204208</v>
      </c>
      <c r="K6" s="16">
        <v>3.5217234292821602</v>
      </c>
      <c r="L6" s="11">
        <f t="shared" si="0"/>
        <v>-5.1946385934573014E-2</v>
      </c>
      <c r="M6" s="17"/>
    </row>
    <row r="7" spans="1:13" s="1" customFormat="1" x14ac:dyDescent="0.2">
      <c r="A7" s="6">
        <v>3</v>
      </c>
      <c r="B7" s="6" t="s">
        <v>2</v>
      </c>
      <c r="C7" s="7">
        <v>45483</v>
      </c>
      <c r="D7" s="6" t="s">
        <v>8</v>
      </c>
      <c r="E7" s="10">
        <v>12280</v>
      </c>
      <c r="F7" s="6">
        <v>45.6</v>
      </c>
      <c r="G7" s="15" t="s">
        <v>16</v>
      </c>
      <c r="H7" s="15">
        <v>120</v>
      </c>
      <c r="I7" s="16">
        <v>5.0830433954469703</v>
      </c>
      <c r="J7" s="16">
        <v>42.358694962058102</v>
      </c>
      <c r="K7" s="16">
        <v>3.8300324511957302</v>
      </c>
      <c r="L7" s="11">
        <f t="shared" si="0"/>
        <v>-7.1081250832059184E-2</v>
      </c>
      <c r="M7" s="17"/>
    </row>
    <row r="8" spans="1:13" s="1" customFormat="1" x14ac:dyDescent="0.2">
      <c r="A8" s="6">
        <v>4</v>
      </c>
      <c r="B8" s="6" t="s">
        <v>2</v>
      </c>
      <c r="C8" s="7">
        <v>45483</v>
      </c>
      <c r="D8" s="6" t="s">
        <v>9</v>
      </c>
      <c r="E8" s="10">
        <v>12280</v>
      </c>
      <c r="F8" s="6">
        <v>113.6</v>
      </c>
      <c r="G8" s="15" t="s">
        <v>17</v>
      </c>
      <c r="H8" s="15">
        <v>120</v>
      </c>
      <c r="I8" s="16">
        <v>12.530537272321199</v>
      </c>
      <c r="J8" s="16">
        <v>104.42114393601</v>
      </c>
      <c r="K8" s="16">
        <v>5.9890209087846999</v>
      </c>
      <c r="L8" s="11">
        <f t="shared" si="0"/>
        <v>-8.0799789295686653E-2</v>
      </c>
      <c r="M8" s="17"/>
    </row>
    <row r="9" spans="1:13" s="1" customFormat="1" x14ac:dyDescent="0.2">
      <c r="A9" s="6">
        <v>5</v>
      </c>
      <c r="B9" s="6" t="s">
        <v>3</v>
      </c>
      <c r="C9" s="7">
        <v>45486</v>
      </c>
      <c r="D9" s="6" t="s">
        <v>7</v>
      </c>
      <c r="E9" s="6">
        <v>6200</v>
      </c>
      <c r="F9" s="6">
        <v>190.3</v>
      </c>
      <c r="G9" s="15" t="s">
        <v>18</v>
      </c>
      <c r="H9" s="15">
        <v>120</v>
      </c>
      <c r="I9" s="16">
        <v>21.169443572269</v>
      </c>
      <c r="J9" s="16">
        <v>176.41202976890901</v>
      </c>
      <c r="K9" s="16">
        <v>6.3666321577447098</v>
      </c>
      <c r="L9" s="11">
        <f t="shared" si="0"/>
        <v>-7.297934961161856E-2</v>
      </c>
      <c r="M9" s="17"/>
    </row>
    <row r="10" spans="1:13" s="1" customFormat="1" x14ac:dyDescent="0.2">
      <c r="A10" s="6">
        <v>6</v>
      </c>
      <c r="B10" s="6" t="s">
        <v>3</v>
      </c>
      <c r="C10" s="7">
        <v>45486</v>
      </c>
      <c r="D10" s="6" t="s">
        <v>10</v>
      </c>
      <c r="E10" s="6">
        <v>6200</v>
      </c>
      <c r="F10" s="6">
        <v>27.7</v>
      </c>
      <c r="G10" s="15" t="s">
        <v>19</v>
      </c>
      <c r="H10" s="15">
        <v>120</v>
      </c>
      <c r="I10" s="16">
        <v>4.6800774684102402</v>
      </c>
      <c r="J10" s="16">
        <v>39.000645570085297</v>
      </c>
      <c r="K10" s="16">
        <v>23.2014128192559</v>
      </c>
      <c r="L10" s="11">
        <f t="shared" si="0"/>
        <v>0.40796554404640073</v>
      </c>
      <c r="M10" s="17"/>
    </row>
    <row r="11" spans="1:13" s="1" customFormat="1" x14ac:dyDescent="0.2">
      <c r="A11" s="6">
        <v>7</v>
      </c>
      <c r="B11" s="6" t="s">
        <v>4</v>
      </c>
      <c r="C11" s="7">
        <v>45492</v>
      </c>
      <c r="D11" s="6" t="s">
        <v>7</v>
      </c>
      <c r="E11" s="10">
        <v>10190</v>
      </c>
      <c r="F11" s="6">
        <v>54.3</v>
      </c>
      <c r="G11" s="15" t="s">
        <v>20</v>
      </c>
      <c r="H11" s="15">
        <v>480</v>
      </c>
      <c r="I11" s="16">
        <v>24.975315057425298</v>
      </c>
      <c r="J11" s="16">
        <v>52.031906369636097</v>
      </c>
      <c r="K11" s="16">
        <v>9.3240230493154499</v>
      </c>
      <c r="L11" s="11">
        <f t="shared" si="0"/>
        <v>-4.1769680117198948E-2</v>
      </c>
      <c r="M11" s="19"/>
    </row>
    <row r="12" spans="1:13" s="1" customFormat="1" x14ac:dyDescent="0.2">
      <c r="A12" s="6">
        <v>8</v>
      </c>
      <c r="B12" s="6" t="s">
        <v>4</v>
      </c>
      <c r="C12" s="7">
        <v>45492</v>
      </c>
      <c r="D12" s="6" t="s">
        <v>10</v>
      </c>
      <c r="E12" s="10">
        <v>10190</v>
      </c>
      <c r="F12" s="6">
        <v>51.9</v>
      </c>
      <c r="G12" s="15" t="s">
        <v>21</v>
      </c>
      <c r="H12" s="15">
        <v>480</v>
      </c>
      <c r="I12" s="16">
        <v>22.9975592765452</v>
      </c>
      <c r="J12" s="16">
        <v>47.911581826135901</v>
      </c>
      <c r="K12" s="16">
        <v>7.3911143362959404</v>
      </c>
      <c r="L12" s="11">
        <f t="shared" si="0"/>
        <v>-7.6848134371177212E-2</v>
      </c>
      <c r="M12" s="20"/>
    </row>
    <row r="13" spans="1:13" x14ac:dyDescent="0.2">
      <c r="K13" s="21"/>
    </row>
    <row r="14" spans="1:13" x14ac:dyDescent="0.2">
      <c r="K14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44BE-2CDF-2140-88F1-0341A7AA7A7B}">
  <dimension ref="A1:I29"/>
  <sheetViews>
    <sheetView workbookViewId="0">
      <selection activeCell="G17" sqref="G17"/>
    </sheetView>
  </sheetViews>
  <sheetFormatPr baseColWidth="10" defaultRowHeight="16" x14ac:dyDescent="0.2"/>
  <cols>
    <col min="1" max="1" width="18.5" customWidth="1"/>
    <col min="2" max="2" width="21.83203125" customWidth="1"/>
    <col min="3" max="3" width="58.5" style="12" customWidth="1"/>
    <col min="4" max="4" width="17.6640625" style="12" bestFit="1" customWidth="1"/>
    <col min="5" max="5" width="19.33203125" style="12" customWidth="1"/>
    <col min="6" max="6" width="22.83203125" style="12" customWidth="1"/>
    <col min="7" max="7" width="13.5" style="12" customWidth="1"/>
    <col min="8" max="8" width="14.33203125" customWidth="1"/>
  </cols>
  <sheetData>
    <row r="1" spans="1:9" x14ac:dyDescent="0.2">
      <c r="A1" s="9"/>
      <c r="B1" s="8"/>
      <c r="C1" s="13" t="s">
        <v>30</v>
      </c>
      <c r="F1" s="13"/>
      <c r="G1" s="13"/>
      <c r="H1" s="5" t="s">
        <v>32</v>
      </c>
      <c r="I1" s="17"/>
    </row>
    <row r="2" spans="1:9" s="2" customFormat="1" x14ac:dyDescent="0.2">
      <c r="A2" s="4" t="s">
        <v>36</v>
      </c>
      <c r="B2" s="4" t="s">
        <v>23</v>
      </c>
      <c r="C2" s="14" t="s">
        <v>14</v>
      </c>
      <c r="D2" s="14" t="s">
        <v>31</v>
      </c>
      <c r="E2" s="14" t="s">
        <v>22</v>
      </c>
      <c r="F2" s="14" t="s">
        <v>23</v>
      </c>
      <c r="G2" s="14" t="s">
        <v>24</v>
      </c>
      <c r="H2" s="14" t="s">
        <v>34</v>
      </c>
      <c r="I2" s="18"/>
    </row>
    <row r="3" spans="1:9" s="2" customFormat="1" x14ac:dyDescent="0.2">
      <c r="A3" s="4"/>
      <c r="B3" s="4" t="s">
        <v>35</v>
      </c>
      <c r="C3" s="14" t="s">
        <v>26</v>
      </c>
      <c r="D3" s="14" t="s">
        <v>28</v>
      </c>
      <c r="E3" s="14" t="s">
        <v>26</v>
      </c>
      <c r="F3" s="14" t="s">
        <v>26</v>
      </c>
      <c r="G3" s="14" t="s">
        <v>26</v>
      </c>
      <c r="H3" s="4" t="s">
        <v>33</v>
      </c>
      <c r="I3" s="18"/>
    </row>
    <row r="4" spans="1:9" x14ac:dyDescent="0.2">
      <c r="A4" s="9">
        <v>0</v>
      </c>
      <c r="B4" s="9">
        <v>52.4</v>
      </c>
      <c r="C4" s="12" t="s">
        <v>37</v>
      </c>
      <c r="D4" s="15">
        <v>420</v>
      </c>
      <c r="E4" s="16">
        <v>19.240555910697399</v>
      </c>
      <c r="F4" s="16">
        <v>45.81</v>
      </c>
      <c r="G4" s="16">
        <v>5.4980788198753903</v>
      </c>
      <c r="H4" s="11">
        <f>F4/B4-1</f>
        <v>-0.12576335877862588</v>
      </c>
    </row>
    <row r="5" spans="1:9" x14ac:dyDescent="0.2">
      <c r="A5" s="9">
        <v>1</v>
      </c>
      <c r="B5" s="9">
        <v>11.5</v>
      </c>
      <c r="C5" s="12" t="s">
        <v>38</v>
      </c>
      <c r="D5" s="15">
        <v>574</v>
      </c>
      <c r="E5" s="16">
        <v>5.9676869643756998</v>
      </c>
      <c r="F5" s="16">
        <v>10.397</v>
      </c>
      <c r="G5" s="16">
        <v>4.5831127633311599</v>
      </c>
      <c r="H5" s="11">
        <f t="shared" ref="H5:H15" si="0">F5/B5-1</f>
        <v>-9.5913043478260795E-2</v>
      </c>
    </row>
    <row r="6" spans="1:9" x14ac:dyDescent="0.2">
      <c r="A6" s="9">
        <v>2</v>
      </c>
      <c r="B6" s="9">
        <v>193.6</v>
      </c>
      <c r="C6" s="12" t="s">
        <v>39</v>
      </c>
      <c r="D6" s="15">
        <v>60</v>
      </c>
      <c r="E6" s="16">
        <v>10.6934979659981</v>
      </c>
      <c r="F6" s="16">
        <v>178.22496609996799</v>
      </c>
      <c r="G6" s="16">
        <v>5.2351044776750797</v>
      </c>
      <c r="H6" s="11">
        <f t="shared" si="0"/>
        <v>-7.9416497417520659E-2</v>
      </c>
    </row>
    <row r="7" spans="1:9" x14ac:dyDescent="0.2">
      <c r="A7" s="9">
        <v>3</v>
      </c>
      <c r="B7" s="9">
        <v>43.7</v>
      </c>
      <c r="C7" s="12" t="s">
        <v>40</v>
      </c>
      <c r="D7" s="15">
        <v>300</v>
      </c>
      <c r="E7" s="16">
        <v>12.211783365273799</v>
      </c>
      <c r="F7" s="16">
        <v>40.705944550912697</v>
      </c>
      <c r="G7" s="16">
        <v>4.6304127941268201</v>
      </c>
      <c r="H7" s="11">
        <f t="shared" si="0"/>
        <v>-6.851385467019E-2</v>
      </c>
    </row>
    <row r="8" spans="1:9" x14ac:dyDescent="0.2">
      <c r="A8" s="9">
        <v>4</v>
      </c>
      <c r="B8" s="9">
        <v>218.6</v>
      </c>
      <c r="C8" s="12" t="s">
        <v>41</v>
      </c>
      <c r="D8" s="15">
        <v>60</v>
      </c>
      <c r="E8" s="16">
        <v>12.4240989307139</v>
      </c>
      <c r="F8" s="16">
        <v>207.06831551189899</v>
      </c>
      <c r="G8" s="16">
        <v>7.5340503081391503</v>
      </c>
      <c r="H8" s="11">
        <f t="shared" si="0"/>
        <v>-5.2752445050782248E-2</v>
      </c>
    </row>
    <row r="9" spans="1:9" x14ac:dyDescent="0.2">
      <c r="A9" s="9">
        <v>5</v>
      </c>
      <c r="B9" s="9">
        <v>175.4</v>
      </c>
      <c r="C9" s="12" t="s">
        <v>42</v>
      </c>
      <c r="D9" s="15">
        <v>60</v>
      </c>
      <c r="E9" s="16">
        <v>9.6567785528591994</v>
      </c>
      <c r="F9" s="16">
        <v>160.94630921432</v>
      </c>
      <c r="G9" s="16">
        <v>5.1699502281989496</v>
      </c>
      <c r="H9" s="11">
        <f t="shared" si="0"/>
        <v>-8.2404166394982936E-2</v>
      </c>
    </row>
    <row r="10" spans="1:9" x14ac:dyDescent="0.2">
      <c r="A10" s="9">
        <v>6</v>
      </c>
      <c r="B10" s="9">
        <v>25.2</v>
      </c>
      <c r="C10" s="12" t="s">
        <v>43</v>
      </c>
      <c r="D10" s="15">
        <v>525</v>
      </c>
      <c r="E10" s="16">
        <v>12.1679692184356</v>
      </c>
      <c r="F10" s="16">
        <v>23.177084225591699</v>
      </c>
      <c r="G10" s="16">
        <v>5.5842193329738601</v>
      </c>
      <c r="H10" s="11">
        <f t="shared" si="0"/>
        <v>-8.0274435492392882E-2</v>
      </c>
    </row>
    <row r="11" spans="1:9" x14ac:dyDescent="0.2">
      <c r="A11" s="9">
        <v>7</v>
      </c>
      <c r="B11" s="9">
        <v>7.7</v>
      </c>
      <c r="C11" s="12" t="s">
        <v>44</v>
      </c>
      <c r="D11" s="15">
        <v>288</v>
      </c>
      <c r="E11" s="16">
        <v>2.0667382287201201</v>
      </c>
      <c r="F11" s="16">
        <v>7.1761744052782204</v>
      </c>
      <c r="G11" s="16">
        <v>3.8820364877645801</v>
      </c>
      <c r="H11" s="11">
        <f t="shared" si="0"/>
        <v>-6.8029298015815587E-2</v>
      </c>
    </row>
    <row r="12" spans="1:9" x14ac:dyDescent="0.2">
      <c r="A12" s="9">
        <v>8</v>
      </c>
      <c r="B12" s="9">
        <v>5.6</v>
      </c>
      <c r="C12" s="12" t="s">
        <v>45</v>
      </c>
      <c r="D12" s="15">
        <v>225</v>
      </c>
      <c r="E12" s="16">
        <v>1.2276041180008099</v>
      </c>
      <c r="F12" s="16">
        <v>5.4560183022258304</v>
      </c>
      <c r="G12" s="16">
        <v>6.6879750705050602</v>
      </c>
      <c r="H12" s="11">
        <f t="shared" si="0"/>
        <v>-2.571101745967308E-2</v>
      </c>
    </row>
    <row r="13" spans="1:9" x14ac:dyDescent="0.2">
      <c r="A13" s="9">
        <v>9</v>
      </c>
      <c r="B13" s="9">
        <v>14</v>
      </c>
      <c r="C13" s="12" t="s">
        <v>46</v>
      </c>
      <c r="D13" s="15">
        <v>336</v>
      </c>
      <c r="E13" s="16">
        <v>4.4692322189882301</v>
      </c>
      <c r="F13" s="16">
        <v>13.3012863660364</v>
      </c>
      <c r="G13" s="16">
        <v>5.0073229226807001</v>
      </c>
      <c r="H13" s="11">
        <f t="shared" si="0"/>
        <v>-4.9908116711685713E-2</v>
      </c>
      <c r="I13" s="19"/>
    </row>
    <row r="14" spans="1:9" x14ac:dyDescent="0.2">
      <c r="A14" s="9">
        <v>10</v>
      </c>
      <c r="B14" s="9">
        <v>374.3</v>
      </c>
      <c r="C14" s="12" t="s">
        <v>47</v>
      </c>
      <c r="D14" s="15">
        <v>60</v>
      </c>
      <c r="E14" s="16">
        <v>25.6821245946639</v>
      </c>
      <c r="F14" s="16">
        <v>428.03540991106598</v>
      </c>
      <c r="G14" s="16">
        <v>15.899266372147199</v>
      </c>
      <c r="H14" s="11">
        <f t="shared" si="0"/>
        <v>0.14356240959408484</v>
      </c>
      <c r="I14" s="20"/>
    </row>
    <row r="15" spans="1:9" x14ac:dyDescent="0.2">
      <c r="A15" s="9">
        <v>11</v>
      </c>
      <c r="B15" s="9">
        <v>307.10000000000002</v>
      </c>
      <c r="C15" s="12" t="s">
        <v>48</v>
      </c>
      <c r="D15" s="15">
        <v>60</v>
      </c>
      <c r="E15" s="16">
        <v>22.6231230041058</v>
      </c>
      <c r="F15" s="16">
        <v>377.05205006842999</v>
      </c>
      <c r="G15" s="16">
        <v>18.616524140420001</v>
      </c>
      <c r="H15" s="11">
        <f t="shared" si="0"/>
        <v>0.22778264431269934</v>
      </c>
    </row>
    <row r="16" spans="1:9" x14ac:dyDescent="0.2">
      <c r="G16" s="21"/>
    </row>
    <row r="17" spans="5:7" x14ac:dyDescent="0.2">
      <c r="G17" s="21"/>
    </row>
    <row r="27" spans="5:7" x14ac:dyDescent="0.2">
      <c r="E27" s="13" t="s">
        <v>51</v>
      </c>
    </row>
    <row r="28" spans="5:7" x14ac:dyDescent="0.2">
      <c r="E28" s="12" t="s">
        <v>50</v>
      </c>
    </row>
    <row r="29" spans="5:7" x14ac:dyDescent="0.2">
      <c r="E29" s="12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2024</vt:lpstr>
      <vt:lpstr>2025</vt:lpstr>
      <vt:lpstr>'2025'!temp_2026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dcterms:created xsi:type="dcterms:W3CDTF">2026-06-04T00:06:19Z</dcterms:created>
  <dcterms:modified xsi:type="dcterms:W3CDTF">2026-06-05T22:06:02Z</dcterms:modified>
</cp:coreProperties>
</file>