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h/Documents/Repositories/LAI_in_snow/LAHM/Rainier (UPS UPS UPS)/UPS metadata/"/>
    </mc:Choice>
  </mc:AlternateContent>
  <xr:revisionPtr revIDLastSave="0" documentId="13_ncr:1_{ECD45F24-C366-0546-8310-CB8A7A6FBBEB}" xr6:coauthVersionLast="47" xr6:coauthVersionMax="47" xr10:uidLastSave="{00000000-0000-0000-0000-000000000000}"/>
  <bookViews>
    <workbookView xWindow="0" yWindow="500" windowWidth="22700" windowHeight="14600" xr2:uid="{D650F5EA-5892-9448-87F1-42F16D874697}"/>
  </bookViews>
  <sheets>
    <sheet name="Overview-Concentrations" sheetId="4" r:id="rId1"/>
    <sheet name="Syringe Method" sheetId="1" r:id="rId2"/>
    <sheet name="Sampling Site Metadata" sheetId="2" r:id="rId3"/>
    <sheet name="Site Layou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 l="1"/>
  <c r="F30" i="1"/>
  <c r="F27" i="1" l="1"/>
  <c r="F28" i="1"/>
  <c r="F29" i="1"/>
  <c r="F26" i="1"/>
  <c r="F25" i="1" l="1"/>
  <c r="F24" i="1"/>
  <c r="F23" i="1"/>
  <c r="F22" i="1"/>
  <c r="F18" i="1"/>
  <c r="F19" i="1"/>
  <c r="F20" i="1"/>
  <c r="F21" i="1"/>
  <c r="F17" i="1"/>
  <c r="F16" i="1"/>
  <c r="F8" i="1"/>
  <c r="F9" i="1"/>
  <c r="F12" i="1"/>
  <c r="F13" i="1"/>
  <c r="F14" i="1"/>
  <c r="F15" i="1"/>
  <c r="F7" i="1"/>
</calcChain>
</file>

<file path=xl/sharedStrings.xml><?xml version="1.0" encoding="utf-8"?>
<sst xmlns="http://schemas.openxmlformats.org/spreadsheetml/2006/main" count="291" uniqueCount="145">
  <si>
    <t>Syringe Method</t>
  </si>
  <si>
    <t>Date (2020)</t>
  </si>
  <si>
    <t>R-A1</t>
  </si>
  <si>
    <t>R-A6</t>
  </si>
  <si>
    <t>R-A10</t>
  </si>
  <si>
    <t>UPS2020-1</t>
  </si>
  <si>
    <t>UPS2020-0</t>
  </si>
  <si>
    <t>UPS2020-2</t>
  </si>
  <si>
    <t>UPS2020-3</t>
  </si>
  <si>
    <t>UPS2020-4</t>
  </si>
  <si>
    <t>UPS2020-5</t>
  </si>
  <si>
    <t>UPS2020-6</t>
  </si>
  <si>
    <t>Charlie Henning</t>
  </si>
  <si>
    <t>Prof. Steven Neshyba</t>
  </si>
  <si>
    <t>Filter #</t>
  </si>
  <si>
    <t>Sample #</t>
  </si>
  <si>
    <t>Total Filtered (mL)</t>
  </si>
  <si>
    <t># Syringes (60 mL)</t>
  </si>
  <si>
    <t>Site #</t>
  </si>
  <si>
    <t>Location</t>
  </si>
  <si>
    <t>Weather</t>
  </si>
  <si>
    <t>Air Temp (º C)</t>
  </si>
  <si>
    <t>Altitude (m)</t>
  </si>
  <si>
    <t>Coordinates (º N, º W)</t>
  </si>
  <si>
    <t>An hour hike up from Paradise to the NW -- west of Alta Vista.</t>
  </si>
  <si>
    <t>NM</t>
  </si>
  <si>
    <t>46.799433, 121.736545</t>
  </si>
  <si>
    <t xml:space="preserve">Snow Temp (º C) </t>
  </si>
  <si>
    <t>Cool and calm, heavy fog</t>
  </si>
  <si>
    <t>Depth (cm)</t>
  </si>
  <si>
    <t>Site 1</t>
  </si>
  <si>
    <t>R-A2</t>
  </si>
  <si>
    <t>R-A3</t>
  </si>
  <si>
    <t>R-A4</t>
  </si>
  <si>
    <t>R-A5</t>
  </si>
  <si>
    <t>R-A7</t>
  </si>
  <si>
    <t>R-A8</t>
  </si>
  <si>
    <t>R-A9</t>
  </si>
  <si>
    <t>R-A11</t>
  </si>
  <si>
    <t>R-A12</t>
  </si>
  <si>
    <t>R-A13</t>
  </si>
  <si>
    <t>R-A14</t>
  </si>
  <si>
    <t>R-A15</t>
  </si>
  <si>
    <t>R-A16</t>
  </si>
  <si>
    <t>5 to 10</t>
  </si>
  <si>
    <t>15 to 20</t>
  </si>
  <si>
    <t>20 to 30</t>
  </si>
  <si>
    <t>30 to 40</t>
  </si>
  <si>
    <t>LL</t>
  </si>
  <si>
    <t>LR</t>
  </si>
  <si>
    <t>RL</t>
  </si>
  <si>
    <t>RR</t>
  </si>
  <si>
    <t>Steven</t>
  </si>
  <si>
    <t>Charlie</t>
  </si>
  <si>
    <t>Digger:</t>
  </si>
  <si>
    <t>UPS2020-7</t>
  </si>
  <si>
    <t>UPS2020-8</t>
  </si>
  <si>
    <t>UPS2020-9</t>
  </si>
  <si>
    <t>UPS2020-10</t>
  </si>
  <si>
    <t>UPS2020-11</t>
  </si>
  <si>
    <t>UPS2020-12</t>
  </si>
  <si>
    <t>The top of the Nisqually Chute after touring to Muir and skiing down.</t>
  </si>
  <si>
    <t>Hot and sunny, few clouds</t>
  </si>
  <si>
    <t>46.82119, 121.73256</t>
  </si>
  <si>
    <t>Site 2</t>
  </si>
  <si>
    <t>10 to 20</t>
  </si>
  <si>
    <t>UPS2020-13</t>
  </si>
  <si>
    <t>UPS2020-14</t>
  </si>
  <si>
    <t>UPS2020-15</t>
  </si>
  <si>
    <t>UPS2020-16</t>
  </si>
  <si>
    <t>UPS2020-17</t>
  </si>
  <si>
    <t>UPS2020-18</t>
  </si>
  <si>
    <t>UPS2020-19</t>
  </si>
  <si>
    <t>UPS2020-20</t>
  </si>
  <si>
    <t>Ruined</t>
  </si>
  <si>
    <t>Mount Tahoma - Black Carbon</t>
  </si>
  <si>
    <t>File</t>
  </si>
  <si>
    <t>run_1</t>
  </si>
  <si>
    <t>run_2</t>
  </si>
  <si>
    <t>run_3</t>
  </si>
  <si>
    <t>Charlie's LAHM results</t>
  </si>
  <si>
    <t>ngperg</t>
  </si>
  <si>
    <t>ugbasic</t>
  </si>
  <si>
    <t>Comments</t>
  </si>
  <si>
    <t>Cameron's LAHM results</t>
  </si>
  <si>
    <t>Jodie's LAHM results</t>
  </si>
  <si>
    <t>A</t>
  </si>
  <si>
    <t>t0</t>
  </si>
  <si>
    <t>Time</t>
  </si>
  <si>
    <t>Sunny to begin, changing to high and low cloud coverager -- about 85%</t>
  </si>
  <si>
    <t>Down 80' to the NW of Camp Muir.</t>
  </si>
  <si>
    <t>Direction Facing (º)</t>
  </si>
  <si>
    <t>Aspect (º)</t>
  </si>
  <si>
    <t>Snow Info</t>
  </si>
  <si>
    <t>1.5-3.0 mm conglomerates, melt phase</t>
  </si>
  <si>
    <t>Site 3</t>
  </si>
  <si>
    <t>0 to 5</t>
  </si>
  <si>
    <t>R-B1</t>
  </si>
  <si>
    <t>R-B2</t>
  </si>
  <si>
    <t>R-B3</t>
  </si>
  <si>
    <t>R-B4</t>
  </si>
  <si>
    <t>R-B5</t>
  </si>
  <si>
    <t>R-B6</t>
  </si>
  <si>
    <t>Dirt</t>
  </si>
  <si>
    <t>UPS2020-21</t>
  </si>
  <si>
    <t>UPS2020-22</t>
  </si>
  <si>
    <t>UPS2020-23</t>
  </si>
  <si>
    <t>UPS2020-24</t>
  </si>
  <si>
    <t>UPS2020-25</t>
  </si>
  <si>
    <t>Site 4</t>
  </si>
  <si>
    <t>East side fo Muir Snowfield, about 2/3 of the way up.</t>
  </si>
  <si>
    <t>Thick, low clounds which broke around 8,000'</t>
  </si>
  <si>
    <t>46.8358097, 121.7315954</t>
  </si>
  <si>
    <t>46.8214782, 121.7278608</t>
  </si>
  <si>
    <t>Site 5</t>
  </si>
  <si>
    <t>0 to 10</t>
  </si>
  <si>
    <t xml:space="preserve">Date </t>
  </si>
  <si>
    <t>Down from a parking lot at Summit at Snoqualmie Central .</t>
  </si>
  <si>
    <t>47.2430, 121.2438</t>
  </si>
  <si>
    <t>SSE</t>
  </si>
  <si>
    <t>Powder for first 32 cm, crust/grainular beyond</t>
  </si>
  <si>
    <t>Strong winds with very fine snow falling.</t>
  </si>
  <si>
    <t>Blank (DI water)</t>
  </si>
  <si>
    <t>Year</t>
  </si>
  <si>
    <t>Site</t>
  </si>
  <si>
    <t>Sample</t>
  </si>
  <si>
    <t>Filter</t>
  </si>
  <si>
    <t>Concentration</t>
  </si>
  <si>
    <t>Mount Rainier</t>
  </si>
  <si>
    <t>UPS2020-26</t>
  </si>
  <si>
    <t>N/A</t>
  </si>
  <si>
    <t>UPS2020-27</t>
  </si>
  <si>
    <t>UPS2020-28</t>
  </si>
  <si>
    <t>UPS2020-29</t>
  </si>
  <si>
    <t>Snoqualmie Pass</t>
  </si>
  <si>
    <t>UPS2021-S1</t>
  </si>
  <si>
    <t>UPS2021-S2</t>
  </si>
  <si>
    <t>UPS2021-S3</t>
  </si>
  <si>
    <t>UPS2021-S4</t>
  </si>
  <si>
    <t>Todd Field</t>
  </si>
  <si>
    <t>UPS2021-1</t>
  </si>
  <si>
    <t>UPS2021-2</t>
  </si>
  <si>
    <t>UPS2021-3</t>
  </si>
  <si>
    <t>UPS2021-4</t>
  </si>
  <si>
    <t>UPS2021-5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</si>
</sst>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 Bold"/>
    </font>
    <font>
      <b/>
      <sz val="20"/>
      <color theme="1"/>
      <name val="Calibri (Body)"/>
    </font>
    <font>
      <b/>
      <sz val="12"/>
      <color theme="1"/>
      <name val="Calibri (Body)"/>
    </font>
    <font>
      <b/>
      <sz val="20"/>
      <color theme="1"/>
      <name val="Calibri"/>
      <family val="2"/>
      <scheme val="minor"/>
    </font>
    <font>
      <b/>
      <sz val="12"/>
      <color rgb="FF000000"/>
      <name val="Calibri Bold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" fontId="4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20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BF4EB-ECCE-E946-9612-9756C3EC9CDD}">
  <dimension ref="A1:F40"/>
  <sheetViews>
    <sheetView tabSelected="1" workbookViewId="0">
      <selection activeCell="H18" sqref="H18"/>
    </sheetView>
  </sheetViews>
  <sheetFormatPr baseColWidth="10" defaultRowHeight="16"/>
  <cols>
    <col min="2" max="2" width="13.33203125" customWidth="1"/>
    <col min="6" max="6" width="12.6640625" customWidth="1"/>
  </cols>
  <sheetData>
    <row r="1" spans="1:6">
      <c r="A1" s="12" t="s">
        <v>123</v>
      </c>
      <c r="B1" s="12" t="s">
        <v>19</v>
      </c>
      <c r="C1" s="12" t="s">
        <v>124</v>
      </c>
      <c r="D1" s="12" t="s">
        <v>125</v>
      </c>
      <c r="E1" s="12" t="s">
        <v>126</v>
      </c>
      <c r="F1" s="12" t="s">
        <v>127</v>
      </c>
    </row>
    <row r="2" spans="1:6">
      <c r="A2" s="13">
        <v>2020</v>
      </c>
      <c r="B2" s="13" t="s">
        <v>128</v>
      </c>
      <c r="C2" s="13">
        <v>1</v>
      </c>
      <c r="D2" t="s">
        <v>2</v>
      </c>
      <c r="E2" t="s">
        <v>5</v>
      </c>
      <c r="F2" s="13"/>
    </row>
    <row r="3" spans="1:6">
      <c r="D3" t="s">
        <v>2</v>
      </c>
      <c r="E3" t="s">
        <v>7</v>
      </c>
    </row>
    <row r="4" spans="1:6">
      <c r="D4" t="s">
        <v>3</v>
      </c>
      <c r="E4" t="s">
        <v>8</v>
      </c>
    </row>
    <row r="5" spans="1:6">
      <c r="D5" t="s">
        <v>3</v>
      </c>
      <c r="E5" t="s">
        <v>9</v>
      </c>
    </row>
    <row r="6" spans="1:6">
      <c r="D6" t="s">
        <v>4</v>
      </c>
      <c r="E6" t="s">
        <v>10</v>
      </c>
    </row>
    <row r="7" spans="1:6">
      <c r="D7" t="s">
        <v>4</v>
      </c>
      <c r="E7" t="s">
        <v>11</v>
      </c>
    </row>
    <row r="8" spans="1:6">
      <c r="D8" t="s">
        <v>34</v>
      </c>
      <c r="E8" t="s">
        <v>55</v>
      </c>
    </row>
    <row r="9" spans="1:6">
      <c r="D9" t="s">
        <v>34</v>
      </c>
      <c r="E9" t="s">
        <v>56</v>
      </c>
    </row>
    <row r="10" spans="1:6">
      <c r="D10" t="s">
        <v>40</v>
      </c>
      <c r="E10" t="s">
        <v>57</v>
      </c>
    </row>
    <row r="11" spans="1:6">
      <c r="D11" t="s">
        <v>40</v>
      </c>
      <c r="E11" t="s">
        <v>58</v>
      </c>
    </row>
    <row r="12" spans="1:6">
      <c r="D12" t="s">
        <v>31</v>
      </c>
      <c r="E12" t="s">
        <v>59</v>
      </c>
    </row>
    <row r="13" spans="1:6">
      <c r="D13" t="s">
        <v>31</v>
      </c>
      <c r="E13" t="s">
        <v>60</v>
      </c>
    </row>
    <row r="14" spans="1:6">
      <c r="D14" t="s">
        <v>37</v>
      </c>
      <c r="E14" t="s">
        <v>66</v>
      </c>
    </row>
    <row r="15" spans="1:6">
      <c r="D15" t="s">
        <v>37</v>
      </c>
      <c r="E15" t="s">
        <v>67</v>
      </c>
    </row>
    <row r="16" spans="1:6">
      <c r="D16" t="s">
        <v>41</v>
      </c>
      <c r="E16" t="s">
        <v>68</v>
      </c>
    </row>
    <row r="17" spans="1:6">
      <c r="D17" t="s">
        <v>41</v>
      </c>
      <c r="E17" t="s">
        <v>69</v>
      </c>
    </row>
    <row r="18" spans="1:6">
      <c r="B18" t="s">
        <v>128</v>
      </c>
      <c r="C18">
        <v>2</v>
      </c>
      <c r="D18" t="s">
        <v>2</v>
      </c>
      <c r="E18" t="s">
        <v>70</v>
      </c>
    </row>
    <row r="19" spans="1:6">
      <c r="D19" t="s">
        <v>31</v>
      </c>
      <c r="E19" t="s">
        <v>71</v>
      </c>
    </row>
    <row r="20" spans="1:6">
      <c r="D20" t="s">
        <v>34</v>
      </c>
      <c r="E20" t="s">
        <v>72</v>
      </c>
    </row>
    <row r="21" spans="1:6">
      <c r="D21" t="s">
        <v>3</v>
      </c>
      <c r="E21" t="s">
        <v>73</v>
      </c>
    </row>
    <row r="22" spans="1:6">
      <c r="B22" t="s">
        <v>128</v>
      </c>
      <c r="C22">
        <v>3</v>
      </c>
      <c r="D22" t="s">
        <v>98</v>
      </c>
      <c r="E22" t="s">
        <v>104</v>
      </c>
    </row>
    <row r="23" spans="1:6">
      <c r="D23" t="s">
        <v>99</v>
      </c>
      <c r="E23" t="s">
        <v>105</v>
      </c>
    </row>
    <row r="24" spans="1:6">
      <c r="D24" t="s">
        <v>100</v>
      </c>
      <c r="E24" t="s">
        <v>106</v>
      </c>
    </row>
    <row r="25" spans="1:6">
      <c r="D25" t="s">
        <v>101</v>
      </c>
      <c r="E25" t="s">
        <v>107</v>
      </c>
    </row>
    <row r="26" spans="1:6">
      <c r="D26" t="s">
        <v>102</v>
      </c>
      <c r="E26" t="s">
        <v>108</v>
      </c>
    </row>
    <row r="27" spans="1:6">
      <c r="B27" t="s">
        <v>128</v>
      </c>
      <c r="C27">
        <v>4</v>
      </c>
      <c r="D27" t="s">
        <v>97</v>
      </c>
      <c r="E27" t="s">
        <v>129</v>
      </c>
      <c r="F27" t="s">
        <v>130</v>
      </c>
    </row>
    <row r="28" spans="1:6">
      <c r="D28" t="s">
        <v>98</v>
      </c>
      <c r="E28" t="s">
        <v>131</v>
      </c>
      <c r="F28" t="s">
        <v>130</v>
      </c>
    </row>
    <row r="29" spans="1:6">
      <c r="D29" t="s">
        <v>99</v>
      </c>
      <c r="E29" t="s">
        <v>132</v>
      </c>
      <c r="F29" t="s">
        <v>130</v>
      </c>
    </row>
    <row r="30" spans="1:6">
      <c r="D30" t="s">
        <v>100</v>
      </c>
      <c r="E30" t="s">
        <v>133</v>
      </c>
      <c r="F30" t="s">
        <v>130</v>
      </c>
    </row>
    <row r="31" spans="1:6">
      <c r="A31">
        <v>2021</v>
      </c>
      <c r="B31" t="s">
        <v>134</v>
      </c>
      <c r="C31">
        <v>5</v>
      </c>
      <c r="D31" t="s">
        <v>3</v>
      </c>
      <c r="E31" t="s">
        <v>135</v>
      </c>
    </row>
    <row r="32" spans="1:6">
      <c r="D32" t="s">
        <v>35</v>
      </c>
      <c r="E32" t="s">
        <v>136</v>
      </c>
    </row>
    <row r="33" spans="2:5">
      <c r="D33" t="s">
        <v>36</v>
      </c>
      <c r="E33" t="s">
        <v>137</v>
      </c>
    </row>
    <row r="34" spans="2:5">
      <c r="D34" t="s">
        <v>37</v>
      </c>
      <c r="E34" t="s">
        <v>138</v>
      </c>
    </row>
    <row r="35" spans="2:5">
      <c r="B35" t="s">
        <v>139</v>
      </c>
      <c r="C35">
        <v>6</v>
      </c>
      <c r="D35" t="s">
        <v>31</v>
      </c>
      <c r="E35" t="s">
        <v>140</v>
      </c>
    </row>
    <row r="36" spans="2:5">
      <c r="D36" t="s">
        <v>33</v>
      </c>
      <c r="E36" t="s">
        <v>141</v>
      </c>
    </row>
    <row r="37" spans="2:5">
      <c r="D37" t="s">
        <v>34</v>
      </c>
      <c r="E37" t="s">
        <v>142</v>
      </c>
    </row>
    <row r="38" spans="2:5">
      <c r="D38" t="s">
        <v>2</v>
      </c>
      <c r="E38" t="s">
        <v>143</v>
      </c>
    </row>
    <row r="39" spans="2:5">
      <c r="D39" t="s">
        <v>32</v>
      </c>
      <c r="E39" t="s">
        <v>144</v>
      </c>
    </row>
    <row r="40" spans="2:5">
      <c r="B40" t="s">
        <v>128</v>
      </c>
      <c r="C4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2A0D-3F47-7146-9021-A1495FF236DF}">
  <dimension ref="A1:P34"/>
  <sheetViews>
    <sheetView zoomScale="80" zoomScaleNormal="80" workbookViewId="0">
      <pane xSplit="1" topLeftCell="B1" activePane="topRight" state="frozen"/>
      <selection pane="topRight" activeCell="C8" sqref="C8"/>
    </sheetView>
  </sheetViews>
  <sheetFormatPr baseColWidth="10" defaultColWidth="10.6640625" defaultRowHeight="16"/>
  <cols>
    <col min="1" max="1" width="24.83203125" bestFit="1" customWidth="1"/>
    <col min="3" max="3" width="14.33203125" bestFit="1" customWidth="1"/>
    <col min="4" max="4" width="11.6640625" bestFit="1" customWidth="1"/>
    <col min="5" max="6" width="16.6640625" bestFit="1" customWidth="1"/>
    <col min="10" max="10" width="21.1640625" customWidth="1"/>
    <col min="13" max="13" width="21.83203125" customWidth="1"/>
  </cols>
  <sheetData>
    <row r="1" spans="1:16" ht="26">
      <c r="A1" s="4" t="s">
        <v>0</v>
      </c>
    </row>
    <row r="2" spans="1:16">
      <c r="A2" t="s">
        <v>12</v>
      </c>
    </row>
    <row r="3" spans="1:16">
      <c r="A3" t="s">
        <v>75</v>
      </c>
    </row>
    <row r="4" spans="1:16">
      <c r="A4" t="s">
        <v>13</v>
      </c>
    </row>
    <row r="5" spans="1:16">
      <c r="B5" s="3" t="s">
        <v>1</v>
      </c>
      <c r="C5" s="3" t="s">
        <v>15</v>
      </c>
      <c r="D5" s="3" t="s">
        <v>14</v>
      </c>
      <c r="E5" s="3" t="s">
        <v>17</v>
      </c>
      <c r="F5" s="3" t="s">
        <v>16</v>
      </c>
      <c r="G5" s="2" t="s">
        <v>76</v>
      </c>
      <c r="H5" s="3" t="s">
        <v>80</v>
      </c>
      <c r="K5" s="3" t="s">
        <v>84</v>
      </c>
      <c r="N5" s="8" t="s">
        <v>85</v>
      </c>
      <c r="O5" s="8"/>
      <c r="P5" s="9"/>
    </row>
    <row r="6" spans="1:16">
      <c r="B6" s="3"/>
      <c r="C6" s="3"/>
      <c r="D6" s="3"/>
      <c r="E6" s="3"/>
      <c r="F6" s="3"/>
      <c r="G6" s="2"/>
      <c r="H6" t="s">
        <v>81</v>
      </c>
      <c r="I6" t="s">
        <v>82</v>
      </c>
      <c r="J6" t="s">
        <v>83</v>
      </c>
      <c r="K6" t="s">
        <v>81</v>
      </c>
      <c r="L6" t="s">
        <v>82</v>
      </c>
      <c r="M6" t="s">
        <v>83</v>
      </c>
      <c r="N6" s="9" t="s">
        <v>86</v>
      </c>
      <c r="O6" s="9" t="s">
        <v>87</v>
      </c>
      <c r="P6" s="9" t="s">
        <v>83</v>
      </c>
    </row>
    <row r="7" spans="1:16">
      <c r="B7" s="1">
        <v>44001</v>
      </c>
      <c r="C7" t="s">
        <v>122</v>
      </c>
      <c r="D7" t="s">
        <v>6</v>
      </c>
      <c r="E7">
        <v>10</v>
      </c>
      <c r="F7">
        <f>E7*60</f>
        <v>600</v>
      </c>
      <c r="G7" t="s">
        <v>77</v>
      </c>
    </row>
    <row r="8" spans="1:16">
      <c r="C8" t="s">
        <v>2</v>
      </c>
      <c r="D8" t="s">
        <v>5</v>
      </c>
      <c r="E8">
        <v>10</v>
      </c>
      <c r="F8">
        <f t="shared" ref="F8:F29" si="0">E8*60</f>
        <v>600</v>
      </c>
      <c r="G8" t="s">
        <v>77</v>
      </c>
      <c r="N8">
        <v>1.8775999999999999</v>
      </c>
      <c r="O8">
        <v>3.3786</v>
      </c>
    </row>
    <row r="9" spans="1:16">
      <c r="C9" t="s">
        <v>2</v>
      </c>
      <c r="D9" t="s">
        <v>7</v>
      </c>
      <c r="E9">
        <v>16</v>
      </c>
      <c r="F9">
        <f t="shared" si="0"/>
        <v>960</v>
      </c>
      <c r="G9" t="s">
        <v>77</v>
      </c>
      <c r="N9">
        <v>2.2462</v>
      </c>
      <c r="O9">
        <v>3.7322000000000002</v>
      </c>
    </row>
    <row r="10" spans="1:16">
      <c r="G10" t="s">
        <v>78</v>
      </c>
      <c r="N10">
        <v>2.3767</v>
      </c>
      <c r="O10">
        <v>3.718</v>
      </c>
    </row>
    <row r="11" spans="1:16">
      <c r="G11" t="s">
        <v>79</v>
      </c>
      <c r="N11">
        <v>2.3618000000000001</v>
      </c>
      <c r="O11">
        <v>3.6871999999999998</v>
      </c>
    </row>
    <row r="12" spans="1:16">
      <c r="B12" s="1">
        <v>44004</v>
      </c>
      <c r="C12" t="s">
        <v>3</v>
      </c>
      <c r="D12" t="s">
        <v>8</v>
      </c>
      <c r="E12">
        <v>10</v>
      </c>
      <c r="F12">
        <f t="shared" si="0"/>
        <v>600</v>
      </c>
      <c r="K12">
        <v>2.2014872030772699</v>
      </c>
      <c r="L12">
        <v>1.32089232184636</v>
      </c>
    </row>
    <row r="13" spans="1:16">
      <c r="C13" t="s">
        <v>3</v>
      </c>
      <c r="D13" t="s">
        <v>9</v>
      </c>
      <c r="E13">
        <v>17</v>
      </c>
      <c r="F13">
        <f t="shared" si="0"/>
        <v>1020</v>
      </c>
      <c r="K13">
        <v>2.4126393006049298</v>
      </c>
      <c r="L13">
        <v>2.4608920866170299</v>
      </c>
    </row>
    <row r="14" spans="1:16">
      <c r="C14" t="s">
        <v>4</v>
      </c>
      <c r="D14" t="s">
        <v>10</v>
      </c>
      <c r="E14">
        <v>10</v>
      </c>
      <c r="F14">
        <f t="shared" si="0"/>
        <v>600</v>
      </c>
      <c r="K14">
        <v>2.3199981842245849</v>
      </c>
      <c r="L14">
        <v>1.3919989105347499</v>
      </c>
    </row>
    <row r="15" spans="1:16">
      <c r="C15" t="s">
        <v>4</v>
      </c>
      <c r="D15" t="s">
        <v>11</v>
      </c>
      <c r="E15">
        <v>16</v>
      </c>
      <c r="F15">
        <f t="shared" si="0"/>
        <v>960</v>
      </c>
      <c r="K15">
        <v>2.00306608027585</v>
      </c>
      <c r="L15">
        <v>1.9229434370648151</v>
      </c>
    </row>
    <row r="16" spans="1:16">
      <c r="B16" s="1">
        <v>44005</v>
      </c>
      <c r="C16" t="s">
        <v>34</v>
      </c>
      <c r="D16" t="s">
        <v>55</v>
      </c>
      <c r="E16">
        <v>10</v>
      </c>
      <c r="F16">
        <f t="shared" si="0"/>
        <v>600</v>
      </c>
      <c r="K16">
        <v>2.4145387941024747</v>
      </c>
      <c r="L16">
        <v>1.4487232764614799</v>
      </c>
    </row>
    <row r="17" spans="2:15">
      <c r="C17" t="s">
        <v>34</v>
      </c>
      <c r="D17" t="s">
        <v>56</v>
      </c>
      <c r="E17">
        <v>17</v>
      </c>
      <c r="F17">
        <f t="shared" si="0"/>
        <v>1020</v>
      </c>
      <c r="K17">
        <v>2.482228474599145</v>
      </c>
      <c r="L17">
        <v>2.5318730440911299</v>
      </c>
    </row>
    <row r="18" spans="2:15">
      <c r="C18" t="s">
        <v>40</v>
      </c>
      <c r="D18" t="s">
        <v>57</v>
      </c>
      <c r="E18">
        <v>10</v>
      </c>
      <c r="F18">
        <f>E18*60</f>
        <v>600</v>
      </c>
      <c r="K18">
        <v>1.3372525921487401</v>
      </c>
      <c r="L18">
        <v>0.80235155528924651</v>
      </c>
      <c r="N18">
        <v>0.505</v>
      </c>
      <c r="O18">
        <v>2.2595999999999998</v>
      </c>
    </row>
    <row r="19" spans="2:15">
      <c r="C19" t="s">
        <v>40</v>
      </c>
      <c r="D19" t="s">
        <v>58</v>
      </c>
      <c r="E19">
        <v>15</v>
      </c>
      <c r="F19">
        <f t="shared" si="0"/>
        <v>900</v>
      </c>
      <c r="K19">
        <v>1.2469264495796448</v>
      </c>
      <c r="L19">
        <v>1.1222338046216751</v>
      </c>
      <c r="N19">
        <v>0.87709999999999999</v>
      </c>
      <c r="O19">
        <v>2.9883999999999999</v>
      </c>
    </row>
    <row r="20" spans="2:15">
      <c r="C20" t="s">
        <v>31</v>
      </c>
      <c r="D20" t="s">
        <v>59</v>
      </c>
      <c r="E20">
        <v>10</v>
      </c>
      <c r="F20">
        <f t="shared" si="0"/>
        <v>600</v>
      </c>
      <c r="K20">
        <v>1.7090493431314351</v>
      </c>
      <c r="L20">
        <v>1.0254296058788599</v>
      </c>
    </row>
    <row r="21" spans="2:15">
      <c r="C21" t="s">
        <v>31</v>
      </c>
      <c r="D21" t="s">
        <v>60</v>
      </c>
      <c r="E21">
        <v>17</v>
      </c>
      <c r="F21">
        <f t="shared" si="0"/>
        <v>1020</v>
      </c>
      <c r="K21">
        <v>1.4874789852537951</v>
      </c>
      <c r="L21">
        <v>1.5172285649588699</v>
      </c>
    </row>
    <row r="22" spans="2:15">
      <c r="B22" s="1">
        <v>44006</v>
      </c>
      <c r="C22" t="s">
        <v>37</v>
      </c>
      <c r="D22" t="s">
        <v>66</v>
      </c>
      <c r="E22">
        <v>10</v>
      </c>
      <c r="F22">
        <f t="shared" si="0"/>
        <v>600</v>
      </c>
      <c r="K22">
        <v>2.5213725406856051</v>
      </c>
      <c r="L22">
        <v>1.5128235244113601</v>
      </c>
    </row>
    <row r="23" spans="2:15">
      <c r="C23" t="s">
        <v>37</v>
      </c>
      <c r="D23" t="s">
        <v>67</v>
      </c>
      <c r="E23">
        <v>16</v>
      </c>
      <c r="F23">
        <f t="shared" si="0"/>
        <v>960</v>
      </c>
      <c r="K23">
        <v>2.1479942734847</v>
      </c>
      <c r="L23">
        <v>2.0620745025453102</v>
      </c>
    </row>
    <row r="24" spans="2:15">
      <c r="C24" t="s">
        <v>41</v>
      </c>
      <c r="D24" t="s">
        <v>68</v>
      </c>
      <c r="E24">
        <v>10</v>
      </c>
      <c r="F24">
        <f t="shared" si="0"/>
        <v>600</v>
      </c>
      <c r="K24">
        <v>1.5001822479226852</v>
      </c>
      <c r="L24">
        <v>0.90010934875361504</v>
      </c>
    </row>
    <row r="25" spans="2:15">
      <c r="C25" t="s">
        <v>41</v>
      </c>
      <c r="D25" t="s">
        <v>69</v>
      </c>
      <c r="E25">
        <v>15</v>
      </c>
      <c r="F25">
        <f t="shared" si="0"/>
        <v>900</v>
      </c>
      <c r="K25">
        <v>1.7102124165483299</v>
      </c>
      <c r="L25">
        <v>1.5391911748934999</v>
      </c>
    </row>
    <row r="26" spans="2:15">
      <c r="B26" s="1">
        <v>44015</v>
      </c>
      <c r="C26" t="s">
        <v>2</v>
      </c>
      <c r="D26" t="s">
        <v>70</v>
      </c>
      <c r="E26">
        <v>23</v>
      </c>
      <c r="F26">
        <f t="shared" si="0"/>
        <v>1380</v>
      </c>
    </row>
    <row r="27" spans="2:15">
      <c r="C27" t="s">
        <v>31</v>
      </c>
      <c r="D27" t="s">
        <v>71</v>
      </c>
      <c r="E27">
        <v>23</v>
      </c>
      <c r="F27">
        <f t="shared" si="0"/>
        <v>1380</v>
      </c>
    </row>
    <row r="28" spans="2:15">
      <c r="C28" t="s">
        <v>34</v>
      </c>
      <c r="D28" t="s">
        <v>72</v>
      </c>
      <c r="E28">
        <v>23</v>
      </c>
      <c r="F28">
        <f t="shared" si="0"/>
        <v>1380</v>
      </c>
    </row>
    <row r="29" spans="2:15">
      <c r="C29" t="s">
        <v>3</v>
      </c>
      <c r="D29" t="s">
        <v>73</v>
      </c>
      <c r="E29">
        <v>23</v>
      </c>
      <c r="F29">
        <f t="shared" si="0"/>
        <v>1380</v>
      </c>
      <c r="J29" t="s">
        <v>74</v>
      </c>
    </row>
    <row r="30" spans="2:15">
      <c r="B30" s="1">
        <v>44026</v>
      </c>
      <c r="C30" t="s">
        <v>98</v>
      </c>
      <c r="D30" t="s">
        <v>104</v>
      </c>
      <c r="E30">
        <v>10</v>
      </c>
      <c r="F30">
        <f>E30*60</f>
        <v>600</v>
      </c>
    </row>
    <row r="31" spans="2:15">
      <c r="C31" t="s">
        <v>99</v>
      </c>
      <c r="D31" t="s">
        <v>105</v>
      </c>
      <c r="E31">
        <v>20</v>
      </c>
      <c r="F31">
        <f>E31*60</f>
        <v>1200</v>
      </c>
    </row>
    <row r="32" spans="2:15">
      <c r="C32" t="s">
        <v>100</v>
      </c>
      <c r="D32" t="s">
        <v>106</v>
      </c>
      <c r="E32">
        <v>23</v>
      </c>
      <c r="F32">
        <f>E32*60</f>
        <v>1380</v>
      </c>
    </row>
    <row r="33" spans="3:6">
      <c r="C33" t="s">
        <v>101</v>
      </c>
      <c r="D33" t="s">
        <v>107</v>
      </c>
      <c r="E33">
        <v>23</v>
      </c>
      <c r="F33">
        <f>E33*60</f>
        <v>1380</v>
      </c>
    </row>
    <row r="34" spans="3:6">
      <c r="C34" t="s">
        <v>102</v>
      </c>
      <c r="D34" t="s">
        <v>108</v>
      </c>
      <c r="E34">
        <v>23</v>
      </c>
      <c r="F34">
        <f>E34*60</f>
        <v>1380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8FD0-7546-ED40-8EE2-DDB8ED7E6CB3}">
  <dimension ref="A1:L6"/>
  <sheetViews>
    <sheetView zoomScale="152" zoomScaleNormal="152" workbookViewId="0">
      <selection activeCell="D14" sqref="D14"/>
    </sheetView>
  </sheetViews>
  <sheetFormatPr baseColWidth="10" defaultColWidth="10.6640625" defaultRowHeight="16"/>
  <cols>
    <col min="1" max="1" width="5.83203125" bestFit="1" customWidth="1"/>
    <col min="4" max="4" width="58.83203125" bestFit="1" customWidth="1"/>
    <col min="5" max="5" width="60.5" bestFit="1" customWidth="1"/>
    <col min="6" max="6" width="22.5" bestFit="1" customWidth="1"/>
    <col min="7" max="7" width="11.1640625" bestFit="1" customWidth="1"/>
    <col min="8" max="8" width="17.1640625" bestFit="1" customWidth="1"/>
    <col min="9" max="9" width="11.1640625" customWidth="1"/>
    <col min="10" max="10" width="12.5" bestFit="1" customWidth="1"/>
    <col min="11" max="11" width="15.1640625" bestFit="1" customWidth="1"/>
    <col min="12" max="12" width="32.6640625" customWidth="1"/>
  </cols>
  <sheetData>
    <row r="1" spans="1:12">
      <c r="A1" s="5" t="s">
        <v>18</v>
      </c>
      <c r="B1" s="2" t="s">
        <v>116</v>
      </c>
      <c r="C1" s="2" t="s">
        <v>88</v>
      </c>
      <c r="D1" s="2" t="s">
        <v>19</v>
      </c>
      <c r="E1" s="2" t="s">
        <v>20</v>
      </c>
      <c r="F1" s="2" t="s">
        <v>23</v>
      </c>
      <c r="G1" s="2" t="s">
        <v>22</v>
      </c>
      <c r="H1" s="2" t="s">
        <v>91</v>
      </c>
      <c r="I1" s="2" t="s">
        <v>92</v>
      </c>
      <c r="J1" s="2" t="s">
        <v>21</v>
      </c>
      <c r="K1" s="2" t="s">
        <v>27</v>
      </c>
      <c r="L1" s="2" t="s">
        <v>93</v>
      </c>
    </row>
    <row r="2" spans="1:12">
      <c r="A2">
        <v>1</v>
      </c>
      <c r="B2" s="1">
        <v>43999</v>
      </c>
      <c r="C2" s="1" t="s">
        <v>25</v>
      </c>
      <c r="D2" t="s">
        <v>24</v>
      </c>
      <c r="E2" t="s">
        <v>28</v>
      </c>
      <c r="F2" t="s">
        <v>26</v>
      </c>
      <c r="G2">
        <v>1846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</row>
    <row r="3" spans="1:12">
      <c r="A3">
        <v>2</v>
      </c>
      <c r="B3" s="1">
        <v>44007</v>
      </c>
      <c r="C3" s="1" t="s">
        <v>25</v>
      </c>
      <c r="D3" t="s">
        <v>61</v>
      </c>
      <c r="E3" t="s">
        <v>62</v>
      </c>
      <c r="F3" t="s">
        <v>63</v>
      </c>
      <c r="G3">
        <v>2615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</row>
    <row r="4" spans="1:12">
      <c r="A4">
        <v>3</v>
      </c>
      <c r="B4" s="1">
        <v>44023</v>
      </c>
      <c r="C4" s="10">
        <v>0.57291666666666663</v>
      </c>
      <c r="D4" t="s">
        <v>90</v>
      </c>
      <c r="E4" t="s">
        <v>89</v>
      </c>
      <c r="F4" t="s">
        <v>112</v>
      </c>
      <c r="G4">
        <v>3123</v>
      </c>
      <c r="H4">
        <v>167</v>
      </c>
      <c r="I4">
        <v>16.399999999999999</v>
      </c>
      <c r="J4">
        <v>8.9</v>
      </c>
      <c r="K4">
        <v>-0.4</v>
      </c>
      <c r="L4" t="s">
        <v>94</v>
      </c>
    </row>
    <row r="5" spans="1:12">
      <c r="A5">
        <v>4</v>
      </c>
      <c r="B5" s="1">
        <v>44029</v>
      </c>
      <c r="C5" s="10">
        <v>0.61458333333333337</v>
      </c>
      <c r="D5" t="s">
        <v>110</v>
      </c>
      <c r="E5" t="s">
        <v>111</v>
      </c>
      <c r="F5" t="s">
        <v>113</v>
      </c>
      <c r="G5">
        <v>2560</v>
      </c>
      <c r="H5">
        <v>329</v>
      </c>
      <c r="I5">
        <v>15.2</v>
      </c>
      <c r="J5">
        <v>10</v>
      </c>
      <c r="K5">
        <v>0</v>
      </c>
      <c r="L5" t="s">
        <v>94</v>
      </c>
    </row>
    <row r="6" spans="1:12">
      <c r="A6">
        <v>5</v>
      </c>
      <c r="B6" s="11">
        <v>44239</v>
      </c>
      <c r="C6" s="10">
        <v>0.86458333333333337</v>
      </c>
      <c r="D6" t="s">
        <v>117</v>
      </c>
      <c r="E6" t="s">
        <v>121</v>
      </c>
      <c r="F6" t="s">
        <v>118</v>
      </c>
      <c r="G6">
        <v>888</v>
      </c>
      <c r="H6" t="s">
        <v>119</v>
      </c>
      <c r="I6">
        <v>16</v>
      </c>
      <c r="J6">
        <v>-8.3000000000000007</v>
      </c>
      <c r="K6">
        <v>-2</v>
      </c>
      <c r="L6" t="s">
        <v>120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5B50-F62D-E842-847E-5F10E0437AF5}">
  <dimension ref="A1:F40"/>
  <sheetViews>
    <sheetView zoomScale="140" zoomScaleNormal="140" workbookViewId="0">
      <selection activeCell="D2" sqref="D2:F7"/>
    </sheetView>
  </sheetViews>
  <sheetFormatPr baseColWidth="10" defaultColWidth="10.6640625" defaultRowHeight="16"/>
  <cols>
    <col min="1" max="1" width="9.1640625" bestFit="1" customWidth="1"/>
  </cols>
  <sheetData>
    <row r="1" spans="1:6" ht="26">
      <c r="A1" s="6" t="s">
        <v>30</v>
      </c>
    </row>
    <row r="2" spans="1:6">
      <c r="B2" s="2" t="s">
        <v>29</v>
      </c>
      <c r="C2" t="s">
        <v>48</v>
      </c>
      <c r="D2" t="s">
        <v>49</v>
      </c>
      <c r="E2" t="s">
        <v>50</v>
      </c>
      <c r="F2" t="s">
        <v>51</v>
      </c>
    </row>
    <row r="3" spans="1:6">
      <c r="B3" s="1" t="s">
        <v>44</v>
      </c>
      <c r="C3" t="s">
        <v>2</v>
      </c>
      <c r="D3" t="s">
        <v>31</v>
      </c>
      <c r="E3" t="s">
        <v>32</v>
      </c>
      <c r="F3" t="s">
        <v>33</v>
      </c>
    </row>
    <row r="4" spans="1:6">
      <c r="B4" t="s">
        <v>45</v>
      </c>
      <c r="C4" t="s">
        <v>34</v>
      </c>
      <c r="D4" t="s">
        <v>3</v>
      </c>
      <c r="E4" t="s">
        <v>35</v>
      </c>
      <c r="F4" t="s">
        <v>36</v>
      </c>
    </row>
    <row r="5" spans="1:6">
      <c r="B5" t="s">
        <v>46</v>
      </c>
      <c r="C5" t="s">
        <v>37</v>
      </c>
      <c r="D5" t="s">
        <v>4</v>
      </c>
      <c r="E5" t="s">
        <v>38</v>
      </c>
      <c r="F5" t="s">
        <v>39</v>
      </c>
    </row>
    <row r="6" spans="1:6">
      <c r="B6" t="s">
        <v>47</v>
      </c>
      <c r="C6" t="s">
        <v>40</v>
      </c>
      <c r="D6" t="s">
        <v>41</v>
      </c>
      <c r="E6" t="s">
        <v>42</v>
      </c>
      <c r="F6" t="s">
        <v>43</v>
      </c>
    </row>
    <row r="7" spans="1:6">
      <c r="B7" t="s">
        <v>54</v>
      </c>
      <c r="C7" t="s">
        <v>52</v>
      </c>
      <c r="D7" t="s">
        <v>52</v>
      </c>
      <c r="E7" t="s">
        <v>53</v>
      </c>
      <c r="F7" t="s">
        <v>53</v>
      </c>
    </row>
    <row r="10" spans="1:6" ht="26">
      <c r="A10" s="7" t="s">
        <v>64</v>
      </c>
    </row>
    <row r="11" spans="1:6">
      <c r="B11" s="2" t="s">
        <v>29</v>
      </c>
    </row>
    <row r="12" spans="1:6">
      <c r="B12" s="1" t="s">
        <v>44</v>
      </c>
      <c r="C12" t="s">
        <v>2</v>
      </c>
    </row>
    <row r="13" spans="1:6">
      <c r="B13" t="s">
        <v>65</v>
      </c>
      <c r="C13" t="s">
        <v>31</v>
      </c>
    </row>
    <row r="14" spans="1:6">
      <c r="B14" t="s">
        <v>46</v>
      </c>
      <c r="C14" t="s">
        <v>34</v>
      </c>
    </row>
    <row r="15" spans="1:6">
      <c r="B15" t="s">
        <v>47</v>
      </c>
      <c r="C15" t="s">
        <v>3</v>
      </c>
    </row>
    <row r="17" spans="1:3" ht="26">
      <c r="A17" s="7" t="s">
        <v>95</v>
      </c>
    </row>
    <row r="18" spans="1:3">
      <c r="B18" s="2" t="s">
        <v>29</v>
      </c>
    </row>
    <row r="19" spans="1:3">
      <c r="B19" t="s">
        <v>103</v>
      </c>
      <c r="C19" t="s">
        <v>97</v>
      </c>
    </row>
    <row r="20" spans="1:3">
      <c r="B20" t="s">
        <v>96</v>
      </c>
      <c r="C20" t="s">
        <v>98</v>
      </c>
    </row>
    <row r="21" spans="1:3">
      <c r="B21" s="1" t="s">
        <v>44</v>
      </c>
      <c r="C21" t="s">
        <v>99</v>
      </c>
    </row>
    <row r="22" spans="1:3">
      <c r="B22" t="s">
        <v>65</v>
      </c>
      <c r="C22" t="s">
        <v>100</v>
      </c>
    </row>
    <row r="23" spans="1:3">
      <c r="B23" t="s">
        <v>46</v>
      </c>
      <c r="C23" t="s">
        <v>101</v>
      </c>
    </row>
    <row r="24" spans="1:3">
      <c r="B24" t="s">
        <v>47</v>
      </c>
      <c r="C24" t="s">
        <v>102</v>
      </c>
    </row>
    <row r="26" spans="1:3" ht="26">
      <c r="A26" s="7" t="s">
        <v>109</v>
      </c>
    </row>
    <row r="27" spans="1:3">
      <c r="B27" s="2" t="s">
        <v>29</v>
      </c>
    </row>
    <row r="28" spans="1:3">
      <c r="B28" s="1" t="s">
        <v>44</v>
      </c>
      <c r="C28" t="s">
        <v>97</v>
      </c>
    </row>
    <row r="29" spans="1:3">
      <c r="B29" t="s">
        <v>65</v>
      </c>
      <c r="C29" t="s">
        <v>98</v>
      </c>
    </row>
    <row r="30" spans="1:3">
      <c r="B30" t="s">
        <v>46</v>
      </c>
      <c r="C30" t="s">
        <v>99</v>
      </c>
    </row>
    <row r="31" spans="1:3">
      <c r="B31" t="s">
        <v>47</v>
      </c>
      <c r="C31" t="s">
        <v>100</v>
      </c>
    </row>
    <row r="35" spans="1:3" ht="26">
      <c r="A35" s="7" t="s">
        <v>114</v>
      </c>
    </row>
    <row r="36" spans="1:3">
      <c r="B36" s="2" t="s">
        <v>29</v>
      </c>
    </row>
    <row r="37" spans="1:3">
      <c r="B37" t="s">
        <v>115</v>
      </c>
      <c r="C37" t="s">
        <v>3</v>
      </c>
    </row>
    <row r="38" spans="1:3">
      <c r="B38" s="1" t="s">
        <v>65</v>
      </c>
      <c r="C38" t="s">
        <v>35</v>
      </c>
    </row>
    <row r="39" spans="1:3">
      <c r="B39" t="s">
        <v>46</v>
      </c>
      <c r="C39" t="s">
        <v>36</v>
      </c>
    </row>
    <row r="40" spans="1:3">
      <c r="B40" t="s">
        <v>47</v>
      </c>
      <c r="C40" t="s">
        <v>37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Overview-Concentrations</vt:lpstr>
      <vt:lpstr>Syringe Method</vt:lpstr>
      <vt:lpstr>Sampling Site Metadata</vt:lpstr>
      <vt:lpstr>Site Layouts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Steven</cp:lastModifiedBy>
  <dcterms:created xsi:type="dcterms:W3CDTF">2020-06-22T22:52:53Z</dcterms:created>
  <dcterms:modified xsi:type="dcterms:W3CDTF">2026-07-28T15:22:04Z</dcterms:modified>
</cp:coreProperties>
</file>